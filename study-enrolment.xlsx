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ergroup-my.sharepoint.com/personal/franziska_huebner_bayer_com/Documents/Desktop/"/>
    </mc:Choice>
  </mc:AlternateContent>
  <xr:revisionPtr revIDLastSave="0" documentId="8_{46374D85-37C6-40B4-909A-286DDB7EAFB3}" xr6:coauthVersionLast="47" xr6:coauthVersionMax="47" xr10:uidLastSave="{00000000-0000-0000-0000-000000000000}"/>
  <bookViews>
    <workbookView xWindow="30645" yWindow="975" windowWidth="23865" windowHeight="12705" xr2:uid="{73D1E1E7-D97F-49A0-9601-3E212272E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H24" i="1"/>
  <c r="C24" i="1"/>
  <c r="B24" i="1"/>
  <c r="K22" i="1"/>
  <c r="D22" i="1"/>
  <c r="K21" i="1"/>
  <c r="D21" i="1"/>
  <c r="K18" i="1"/>
  <c r="D18" i="1"/>
  <c r="K17" i="1"/>
  <c r="D17" i="1"/>
  <c r="K16" i="1"/>
  <c r="D16" i="1"/>
  <c r="K15" i="1"/>
  <c r="D15" i="1"/>
  <c r="K14" i="1"/>
  <c r="D14" i="1"/>
  <c r="K11" i="1"/>
  <c r="D11" i="1"/>
  <c r="D24" i="1" s="1"/>
  <c r="K10" i="1"/>
  <c r="D10" i="1"/>
  <c r="K9" i="1"/>
  <c r="D9" i="1"/>
  <c r="K6" i="1"/>
  <c r="D6" i="1"/>
  <c r="K5" i="1"/>
  <c r="D5" i="1"/>
  <c r="K4" i="1"/>
  <c r="K24" i="1" s="1"/>
  <c r="D4" i="1"/>
  <c r="N2" i="1"/>
  <c r="G21" i="1" s="1"/>
  <c r="G16" i="1" l="1"/>
  <c r="J16" i="1" s="1"/>
  <c r="G4" i="1"/>
  <c r="J4" i="1" s="1"/>
  <c r="L21" i="1"/>
  <c r="J21" i="1"/>
  <c r="G11" i="1"/>
  <c r="J11" i="1" s="1"/>
  <c r="G15" i="1"/>
  <c r="J15" i="1" s="1"/>
  <c r="G10" i="1"/>
  <c r="J10" i="1" s="1"/>
  <c r="G22" i="1"/>
  <c r="J22" i="1" s="1"/>
  <c r="G6" i="1"/>
  <c r="J6" i="1" s="1"/>
  <c r="G5" i="1"/>
  <c r="G17" i="1"/>
  <c r="G14" i="1"/>
  <c r="J14" i="1" s="1"/>
  <c r="G18" i="1"/>
  <c r="J18" i="1" s="1"/>
  <c r="G9" i="1"/>
  <c r="L4" i="1" l="1"/>
  <c r="L11" i="1"/>
  <c r="L16" i="1"/>
  <c r="L14" i="1"/>
  <c r="L22" i="1"/>
  <c r="L10" i="1"/>
  <c r="L6" i="1"/>
  <c r="J17" i="1"/>
  <c r="L17" i="1"/>
  <c r="L18" i="1"/>
  <c r="L9" i="1"/>
  <c r="J9" i="1"/>
  <c r="J5" i="1"/>
  <c r="L5" i="1"/>
  <c r="L15" i="1"/>
  <c r="J24" i="1" l="1"/>
  <c r="L24" i="1"/>
</calcChain>
</file>

<file path=xl/sharedStrings.xml><?xml version="1.0" encoding="utf-8"?>
<sst xmlns="http://schemas.openxmlformats.org/spreadsheetml/2006/main" count="36" uniqueCount="32">
  <si>
    <t>planned</t>
  </si>
  <si>
    <t>current enrolment</t>
  </si>
  <si>
    <t>date</t>
  </si>
  <si>
    <t>target enrolment rate 
patient/site/month</t>
  </si>
  <si>
    <t>sites</t>
  </si>
  <si>
    <t>pts</t>
  </si>
  <si>
    <t>pts/site</t>
  </si>
  <si>
    <t>FPFV</t>
  </si>
  <si>
    <t>month
sites open</t>
  </si>
  <si>
    <t>site open</t>
  </si>
  <si>
    <t>pts randomized 
to date</t>
  </si>
  <si>
    <t>pts/month</t>
  </si>
  <si>
    <t>pts/site/month</t>
  </si>
  <si>
    <t>LATAM</t>
  </si>
  <si>
    <t>Chile</t>
  </si>
  <si>
    <t>Brazil</t>
  </si>
  <si>
    <t>Bolivia</t>
  </si>
  <si>
    <t>APAC</t>
  </si>
  <si>
    <t>India</t>
  </si>
  <si>
    <t>Japan</t>
  </si>
  <si>
    <t>South Korea</t>
  </si>
  <si>
    <t>EMEA</t>
  </si>
  <si>
    <t>Germany</t>
  </si>
  <si>
    <t>Belgium</t>
  </si>
  <si>
    <t>Danmark</t>
  </si>
  <si>
    <t>Italy</t>
  </si>
  <si>
    <t>Poland</t>
  </si>
  <si>
    <t>NorthAm</t>
  </si>
  <si>
    <t>US</t>
  </si>
  <si>
    <t>Canada</t>
  </si>
  <si>
    <t>SUM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</si>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</sst>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EAEF"/>
        <bgColor rgb="FF000000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14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/>
    </xf>
    <xf numFmtId="1" fontId="1" fillId="2" borderId="0" xfId="0" applyNumberFormat="1" applyFont="1" applyFill="1" applyAlignment="1">
      <alignment horizontal="center"/>
    </xf>
    <xf numFmtId="17" fontId="1" fillId="0" borderId="0" xfId="0" applyNumberFormat="1" applyFont="1"/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67C82-866A-4B3E-A03E-269034A42A1B}">
  <dimension ref="A1:O25"/>
  <sheetViews>
    <sheetView tabSelected="1" zoomScale="115" zoomScaleNormal="115" workbookViewId="0">
      <selection activeCell="M9" sqref="M9"/>
    </sheetView>
  </sheetViews>
  <sheetFormatPr defaultColWidth="18" defaultRowHeight="15" x14ac:dyDescent="0.25"/>
  <cols>
    <col min="1" max="1" width="11.5703125" bestFit="1" customWidth="1"/>
    <col min="2" max="2" width="5.140625" bestFit="1" customWidth="1"/>
    <col min="3" max="3" width="5.5703125" bestFit="1" customWidth="1"/>
    <col min="4" max="4" width="7.5703125" bestFit="1" customWidth="1"/>
    <col min="6" max="6" width="7" bestFit="1" customWidth="1"/>
    <col min="7" max="9" width="14.42578125" customWidth="1"/>
    <col min="10" max="12" width="14.7109375" customWidth="1"/>
    <col min="14" max="14" width="10.140625" bestFit="1" customWidth="1"/>
    <col min="15" max="15" width="30.85546875" customWidth="1"/>
  </cols>
  <sheetData>
    <row r="1" spans="1:15" ht="30.75" thickBot="1" x14ac:dyDescent="0.3">
      <c r="A1" s="1"/>
      <c r="B1" s="2" t="s">
        <v>0</v>
      </c>
      <c r="C1" s="3"/>
      <c r="D1" s="4"/>
      <c r="E1" s="5"/>
      <c r="F1" s="2" t="s">
        <v>1</v>
      </c>
      <c r="G1" s="3"/>
      <c r="H1" s="3"/>
      <c r="I1" s="3"/>
      <c r="J1" s="3"/>
      <c r="K1" s="3"/>
      <c r="L1" s="4"/>
      <c r="M1" s="1"/>
      <c r="N1" s="1" t="s">
        <v>2</v>
      </c>
      <c r="O1" s="6" t="s">
        <v>3</v>
      </c>
    </row>
    <row r="2" spans="1:15" ht="30" x14ac:dyDescent="0.25">
      <c r="A2" s="1"/>
      <c r="B2" s="7" t="s">
        <v>4</v>
      </c>
      <c r="C2" s="7" t="s">
        <v>5</v>
      </c>
      <c r="D2" s="7" t="s">
        <v>6</v>
      </c>
      <c r="E2" s="1"/>
      <c r="F2" s="1" t="s">
        <v>7</v>
      </c>
      <c r="G2" s="6" t="s">
        <v>8</v>
      </c>
      <c r="H2" s="1" t="s">
        <v>9</v>
      </c>
      <c r="I2" s="6" t="s">
        <v>10</v>
      </c>
      <c r="J2" s="1" t="s">
        <v>11</v>
      </c>
      <c r="K2" s="1" t="s">
        <v>6</v>
      </c>
      <c r="L2" s="1" t="s">
        <v>12</v>
      </c>
      <c r="M2" s="1"/>
      <c r="N2" s="8">
        <f ca="1">TODAY()</f>
        <v>46051</v>
      </c>
      <c r="O2" s="9">
        <v>1</v>
      </c>
    </row>
    <row r="3" spans="1:15" x14ac:dyDescent="0.25">
      <c r="A3" s="10" t="s">
        <v>13</v>
      </c>
      <c r="B3" s="11"/>
      <c r="C3" s="11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" t="s">
        <v>14</v>
      </c>
      <c r="B4" s="7">
        <v>8</v>
      </c>
      <c r="C4" s="7">
        <v>400</v>
      </c>
      <c r="D4" s="12">
        <f>C4/B4</f>
        <v>50</v>
      </c>
      <c r="E4" s="1"/>
      <c r="F4" s="13">
        <v>45901</v>
      </c>
      <c r="G4" s="11">
        <f ca="1">DATEDIF(F4,N2,"m")</f>
        <v>4</v>
      </c>
      <c r="H4" s="11">
        <v>3</v>
      </c>
      <c r="I4" s="11">
        <v>10</v>
      </c>
      <c r="J4" s="14">
        <f ca="1">I4/G4</f>
        <v>2.5</v>
      </c>
      <c r="K4" s="14">
        <f>I4/H4</f>
        <v>3.3333333333333335</v>
      </c>
      <c r="L4" s="14">
        <f ca="1">K4/G4</f>
        <v>0.83333333333333337</v>
      </c>
      <c r="M4" s="1"/>
      <c r="N4" s="1"/>
      <c r="O4" s="1"/>
    </row>
    <row r="5" spans="1:15" x14ac:dyDescent="0.25">
      <c r="A5" s="1" t="s">
        <v>15</v>
      </c>
      <c r="B5" s="7">
        <v>5</v>
      </c>
      <c r="C5" s="7">
        <v>300</v>
      </c>
      <c r="D5" s="12">
        <f t="shared" ref="D5:D6" si="0">C5/B5</f>
        <v>60</v>
      </c>
      <c r="E5" s="1"/>
      <c r="F5" s="13">
        <v>45870</v>
      </c>
      <c r="G5" s="11">
        <f ca="1">DATEDIF(F5,N2,"m")</f>
        <v>5</v>
      </c>
      <c r="H5" s="11">
        <v>2</v>
      </c>
      <c r="I5" s="11">
        <v>5</v>
      </c>
      <c r="J5" s="14">
        <f t="shared" ref="J5:J22" ca="1" si="1">I5/G5</f>
        <v>1</v>
      </c>
      <c r="K5" s="14">
        <f t="shared" ref="K5:K22" si="2">I5/H5</f>
        <v>2.5</v>
      </c>
      <c r="L5" s="14">
        <f t="shared" ref="L5:L22" ca="1" si="3">K5/G5</f>
        <v>0.5</v>
      </c>
      <c r="M5" s="1"/>
      <c r="N5" s="1"/>
      <c r="O5" s="1"/>
    </row>
    <row r="6" spans="1:15" x14ac:dyDescent="0.25">
      <c r="A6" s="1" t="s">
        <v>16</v>
      </c>
      <c r="B6" s="7">
        <v>5</v>
      </c>
      <c r="C6" s="7">
        <v>150</v>
      </c>
      <c r="D6" s="12">
        <f t="shared" si="0"/>
        <v>30</v>
      </c>
      <c r="E6" s="1"/>
      <c r="F6" s="13">
        <v>45839</v>
      </c>
      <c r="G6" s="11">
        <f ca="1">DATEDIF(F6,N2,"m")</f>
        <v>6</v>
      </c>
      <c r="H6" s="11">
        <v>1</v>
      </c>
      <c r="I6" s="11">
        <v>5</v>
      </c>
      <c r="J6" s="14">
        <f t="shared" ca="1" si="1"/>
        <v>0.83333333333333337</v>
      </c>
      <c r="K6" s="14">
        <f t="shared" si="2"/>
        <v>5</v>
      </c>
      <c r="L6" s="14">
        <f t="shared" ca="1" si="3"/>
        <v>0.83333333333333337</v>
      </c>
      <c r="M6" s="1"/>
      <c r="N6" s="1"/>
      <c r="O6" s="1"/>
    </row>
    <row r="7" spans="1:15" x14ac:dyDescent="0.25">
      <c r="A7" s="1"/>
      <c r="B7" s="11"/>
      <c r="C7" s="11"/>
      <c r="D7" s="15"/>
      <c r="E7" s="1"/>
      <c r="F7" s="13"/>
      <c r="G7" s="11"/>
      <c r="H7" s="11"/>
      <c r="I7" s="11"/>
      <c r="J7" s="14"/>
      <c r="K7" s="14"/>
      <c r="L7" s="14"/>
      <c r="M7" s="1"/>
      <c r="N7" s="1"/>
      <c r="O7" s="1"/>
    </row>
    <row r="8" spans="1:15" x14ac:dyDescent="0.25">
      <c r="A8" s="10" t="s">
        <v>17</v>
      </c>
      <c r="B8" s="11"/>
      <c r="C8" s="11"/>
      <c r="D8" s="15"/>
      <c r="E8" s="1"/>
      <c r="F8" s="13"/>
      <c r="G8" s="11"/>
      <c r="H8" s="11"/>
      <c r="I8" s="11"/>
      <c r="J8" s="14"/>
      <c r="K8" s="14"/>
      <c r="L8" s="14"/>
      <c r="M8" s="1"/>
      <c r="N8" s="1"/>
      <c r="O8" s="1"/>
    </row>
    <row r="9" spans="1:15" x14ac:dyDescent="0.25">
      <c r="A9" s="1" t="s">
        <v>18</v>
      </c>
      <c r="B9" s="7">
        <v>10</v>
      </c>
      <c r="C9" s="7">
        <v>500</v>
      </c>
      <c r="D9" s="12">
        <f t="shared" ref="D9:D11" si="4">C9/B9</f>
        <v>50</v>
      </c>
      <c r="E9" s="1"/>
      <c r="F9" s="13">
        <v>45901</v>
      </c>
      <c r="G9" s="11">
        <f ca="1">DATEDIF(F9,N2,"m")</f>
        <v>4</v>
      </c>
      <c r="H9" s="11">
        <v>3</v>
      </c>
      <c r="I9" s="11">
        <v>5</v>
      </c>
      <c r="J9" s="14">
        <f t="shared" ca="1" si="1"/>
        <v>1.25</v>
      </c>
      <c r="K9" s="14">
        <f t="shared" si="2"/>
        <v>1.6666666666666667</v>
      </c>
      <c r="L9" s="14">
        <f t="shared" ca="1" si="3"/>
        <v>0.41666666666666669</v>
      </c>
      <c r="M9" s="1"/>
      <c r="N9" s="1"/>
      <c r="O9" s="1"/>
    </row>
    <row r="10" spans="1:15" x14ac:dyDescent="0.25">
      <c r="A10" s="1" t="s">
        <v>19</v>
      </c>
      <c r="B10" s="7">
        <v>5</v>
      </c>
      <c r="C10" s="7">
        <v>150</v>
      </c>
      <c r="D10" s="12">
        <f t="shared" si="4"/>
        <v>30</v>
      </c>
      <c r="E10" s="1"/>
      <c r="F10" s="13">
        <v>45870</v>
      </c>
      <c r="G10" s="11">
        <f ca="1">DATEDIF(F10,N2,"m")</f>
        <v>5</v>
      </c>
      <c r="H10" s="11">
        <v>1</v>
      </c>
      <c r="I10" s="11">
        <v>2</v>
      </c>
      <c r="J10" s="14">
        <f t="shared" ca="1" si="1"/>
        <v>0.4</v>
      </c>
      <c r="K10" s="14">
        <f t="shared" si="2"/>
        <v>2</v>
      </c>
      <c r="L10" s="14">
        <f t="shared" ca="1" si="3"/>
        <v>0.4</v>
      </c>
      <c r="M10" s="1"/>
      <c r="N10" s="1"/>
      <c r="O10" s="1"/>
    </row>
    <row r="11" spans="1:15" x14ac:dyDescent="0.25">
      <c r="A11" s="1" t="s">
        <v>20</v>
      </c>
      <c r="B11" s="7">
        <v>10</v>
      </c>
      <c r="C11" s="7">
        <v>300</v>
      </c>
      <c r="D11" s="12">
        <f t="shared" si="4"/>
        <v>30</v>
      </c>
      <c r="E11" s="1"/>
      <c r="F11" s="13">
        <v>45839</v>
      </c>
      <c r="G11" s="11">
        <f ca="1">DATEDIF(F11,N2,"m")</f>
        <v>6</v>
      </c>
      <c r="H11" s="11">
        <v>5</v>
      </c>
      <c r="I11" s="11">
        <v>18</v>
      </c>
      <c r="J11" s="14">
        <f t="shared" ca="1" si="1"/>
        <v>3</v>
      </c>
      <c r="K11" s="14">
        <f t="shared" si="2"/>
        <v>3.6</v>
      </c>
      <c r="L11" s="14">
        <f t="shared" ca="1" si="3"/>
        <v>0.6</v>
      </c>
      <c r="M11" s="1"/>
      <c r="N11" s="1"/>
      <c r="O11" s="1"/>
    </row>
    <row r="12" spans="1:15" x14ac:dyDescent="0.25">
      <c r="A12" s="1"/>
      <c r="B12" s="11"/>
      <c r="C12" s="11"/>
      <c r="D12" s="15"/>
      <c r="E12" s="1"/>
      <c r="F12" s="13"/>
      <c r="G12" s="11"/>
      <c r="H12" s="11"/>
      <c r="I12" s="11"/>
      <c r="J12" s="14"/>
      <c r="K12" s="14"/>
      <c r="L12" s="14"/>
      <c r="M12" s="1"/>
      <c r="N12" s="1"/>
      <c r="O12" s="1"/>
    </row>
    <row r="13" spans="1:15" x14ac:dyDescent="0.25">
      <c r="A13" s="10" t="s">
        <v>21</v>
      </c>
      <c r="B13" s="11"/>
      <c r="C13" s="11"/>
      <c r="D13" s="15"/>
      <c r="E13" s="1"/>
      <c r="F13" s="13"/>
      <c r="G13" s="11"/>
      <c r="H13" s="11"/>
      <c r="I13" s="11"/>
      <c r="J13" s="14"/>
      <c r="K13" s="14"/>
      <c r="L13" s="14"/>
      <c r="M13" s="1"/>
      <c r="N13" s="1"/>
      <c r="O13" s="1"/>
    </row>
    <row r="14" spans="1:15" x14ac:dyDescent="0.25">
      <c r="A14" s="1" t="s">
        <v>22</v>
      </c>
      <c r="B14" s="7">
        <v>10</v>
      </c>
      <c r="C14" s="7">
        <v>300</v>
      </c>
      <c r="D14" s="12">
        <f t="shared" ref="D14:D18" si="5">C14/B14</f>
        <v>30</v>
      </c>
      <c r="E14" s="1"/>
      <c r="F14" s="13">
        <v>45901</v>
      </c>
      <c r="G14" s="11">
        <f ca="1">DATEDIF(F14,N2,"m")</f>
        <v>4</v>
      </c>
      <c r="H14" s="11">
        <v>5</v>
      </c>
      <c r="I14" s="11">
        <v>20</v>
      </c>
      <c r="J14" s="14">
        <f t="shared" ca="1" si="1"/>
        <v>5</v>
      </c>
      <c r="K14" s="14">
        <f t="shared" si="2"/>
        <v>4</v>
      </c>
      <c r="L14" s="14">
        <f t="shared" ca="1" si="3"/>
        <v>1</v>
      </c>
      <c r="M14" s="1"/>
      <c r="N14" s="1"/>
      <c r="O14" s="1"/>
    </row>
    <row r="15" spans="1:15" x14ac:dyDescent="0.25">
      <c r="A15" s="1" t="s">
        <v>23</v>
      </c>
      <c r="B15" s="7">
        <v>5</v>
      </c>
      <c r="C15" s="7">
        <v>150</v>
      </c>
      <c r="D15" s="12">
        <f t="shared" si="5"/>
        <v>30</v>
      </c>
      <c r="E15" s="1"/>
      <c r="F15" s="13">
        <v>45870</v>
      </c>
      <c r="G15" s="11">
        <f ca="1">DATEDIF(F15,N2,"m")</f>
        <v>5</v>
      </c>
      <c r="H15" s="11">
        <v>1</v>
      </c>
      <c r="I15" s="11">
        <v>5</v>
      </c>
      <c r="J15" s="14">
        <f t="shared" ca="1" si="1"/>
        <v>1</v>
      </c>
      <c r="K15" s="14">
        <f t="shared" si="2"/>
        <v>5</v>
      </c>
      <c r="L15" s="14">
        <f t="shared" ca="1" si="3"/>
        <v>1</v>
      </c>
      <c r="M15" s="1"/>
      <c r="N15" s="1"/>
      <c r="O15" s="1"/>
    </row>
    <row r="16" spans="1:15" x14ac:dyDescent="0.25">
      <c r="A16" s="1" t="s">
        <v>24</v>
      </c>
      <c r="B16" s="7">
        <v>5</v>
      </c>
      <c r="C16" s="7">
        <v>150</v>
      </c>
      <c r="D16" s="12">
        <f t="shared" si="5"/>
        <v>30</v>
      </c>
      <c r="E16" s="1"/>
      <c r="F16" s="13">
        <v>45901</v>
      </c>
      <c r="G16" s="11">
        <f ca="1">DATEDIF(F16,N2,"m")</f>
        <v>4</v>
      </c>
      <c r="H16" s="11">
        <v>1</v>
      </c>
      <c r="I16" s="11">
        <v>3</v>
      </c>
      <c r="J16" s="14">
        <f t="shared" ca="1" si="1"/>
        <v>0.75</v>
      </c>
      <c r="K16" s="14">
        <f t="shared" si="2"/>
        <v>3</v>
      </c>
      <c r="L16" s="14">
        <f t="shared" ca="1" si="3"/>
        <v>0.75</v>
      </c>
      <c r="M16" s="1"/>
      <c r="N16" s="1"/>
      <c r="O16" s="1"/>
    </row>
    <row r="17" spans="1:15" x14ac:dyDescent="0.25">
      <c r="A17" s="1" t="s">
        <v>25</v>
      </c>
      <c r="B17" s="7">
        <v>10</v>
      </c>
      <c r="C17" s="7">
        <v>500</v>
      </c>
      <c r="D17" s="12">
        <f t="shared" si="5"/>
        <v>50</v>
      </c>
      <c r="E17" s="1"/>
      <c r="F17" s="13">
        <v>45870</v>
      </c>
      <c r="G17" s="11">
        <f ca="1">DATEDIF(F17,N2,"m")</f>
        <v>5</v>
      </c>
      <c r="H17" s="11">
        <v>3</v>
      </c>
      <c r="I17" s="11">
        <v>5</v>
      </c>
      <c r="J17" s="14">
        <f t="shared" ca="1" si="1"/>
        <v>1</v>
      </c>
      <c r="K17" s="14">
        <f t="shared" si="2"/>
        <v>1.6666666666666667</v>
      </c>
      <c r="L17" s="14">
        <f t="shared" ca="1" si="3"/>
        <v>0.33333333333333337</v>
      </c>
      <c r="M17" s="1"/>
      <c r="N17" s="1"/>
      <c r="O17" s="1"/>
    </row>
    <row r="18" spans="1:15" x14ac:dyDescent="0.25">
      <c r="A18" s="1" t="s">
        <v>26</v>
      </c>
      <c r="B18" s="7">
        <v>10</v>
      </c>
      <c r="C18" s="7">
        <v>500</v>
      </c>
      <c r="D18" s="12">
        <f t="shared" si="5"/>
        <v>50</v>
      </c>
      <c r="E18" s="1"/>
      <c r="F18" s="13">
        <v>45839</v>
      </c>
      <c r="G18" s="11">
        <f ca="1">DATEDIF(F18,N2,"m")</f>
        <v>6</v>
      </c>
      <c r="H18" s="11">
        <v>5</v>
      </c>
      <c r="I18" s="11">
        <v>5</v>
      </c>
      <c r="J18" s="14">
        <f t="shared" ca="1" si="1"/>
        <v>0.83333333333333337</v>
      </c>
      <c r="K18" s="14">
        <f t="shared" si="2"/>
        <v>1</v>
      </c>
      <c r="L18" s="14">
        <f t="shared" ca="1" si="3"/>
        <v>0.16666666666666666</v>
      </c>
      <c r="M18" s="1"/>
      <c r="N18" s="1"/>
      <c r="O18" s="1"/>
    </row>
    <row r="19" spans="1:15" x14ac:dyDescent="0.25">
      <c r="A19" s="1"/>
      <c r="B19" s="11"/>
      <c r="C19" s="11"/>
      <c r="D19" s="15"/>
      <c r="E19" s="1"/>
      <c r="F19" s="13"/>
      <c r="G19" s="11"/>
      <c r="H19" s="11"/>
      <c r="I19" s="11"/>
      <c r="J19" s="14"/>
      <c r="K19" s="14"/>
      <c r="L19" s="14"/>
      <c r="M19" s="1"/>
      <c r="N19" s="1"/>
      <c r="O19" s="1"/>
    </row>
    <row r="20" spans="1:15" x14ac:dyDescent="0.25">
      <c r="A20" s="10" t="s">
        <v>27</v>
      </c>
      <c r="B20" s="11"/>
      <c r="C20" s="11"/>
      <c r="D20" s="15"/>
      <c r="E20" s="1"/>
      <c r="F20" s="13"/>
      <c r="G20" s="11"/>
      <c r="H20" s="11"/>
      <c r="I20" s="11"/>
      <c r="J20" s="14"/>
      <c r="K20" s="14"/>
      <c r="L20" s="14"/>
      <c r="M20" s="1"/>
      <c r="N20" s="1"/>
      <c r="O20" s="1"/>
    </row>
    <row r="21" spans="1:15" x14ac:dyDescent="0.25">
      <c r="A21" s="1" t="s">
        <v>28</v>
      </c>
      <c r="B21" s="7">
        <v>10</v>
      </c>
      <c r="C21" s="7">
        <v>300</v>
      </c>
      <c r="D21" s="12">
        <f t="shared" ref="D21:D22" si="6">C21/B21</f>
        <v>30</v>
      </c>
      <c r="E21" s="1"/>
      <c r="F21" s="13">
        <v>45901</v>
      </c>
      <c r="G21" s="11">
        <f ca="1">DATEDIF(F21,N2,"m")</f>
        <v>4</v>
      </c>
      <c r="H21" s="11">
        <v>5</v>
      </c>
      <c r="I21" s="11">
        <v>15</v>
      </c>
      <c r="J21" s="14">
        <f t="shared" ca="1" si="1"/>
        <v>3.75</v>
      </c>
      <c r="K21" s="14">
        <f t="shared" si="2"/>
        <v>3</v>
      </c>
      <c r="L21" s="14">
        <f t="shared" ca="1" si="3"/>
        <v>0.75</v>
      </c>
      <c r="M21" s="1"/>
      <c r="N21" s="1"/>
      <c r="O21" s="1"/>
    </row>
    <row r="22" spans="1:15" x14ac:dyDescent="0.25">
      <c r="A22" s="1" t="s">
        <v>29</v>
      </c>
      <c r="B22" s="7">
        <v>7</v>
      </c>
      <c r="C22" s="7">
        <v>350</v>
      </c>
      <c r="D22" s="12">
        <f t="shared" si="6"/>
        <v>50</v>
      </c>
      <c r="E22" s="1"/>
      <c r="F22" s="13">
        <v>45870</v>
      </c>
      <c r="G22" s="11">
        <f ca="1">DATEDIF(F22,N2,"m")</f>
        <v>5</v>
      </c>
      <c r="H22" s="11">
        <v>4</v>
      </c>
      <c r="I22" s="11">
        <v>10</v>
      </c>
      <c r="J22" s="14">
        <f t="shared" ca="1" si="1"/>
        <v>2</v>
      </c>
      <c r="K22" s="14">
        <f t="shared" si="2"/>
        <v>2.5</v>
      </c>
      <c r="L22" s="14">
        <f t="shared" ca="1" si="3"/>
        <v>0.5</v>
      </c>
      <c r="M22" s="1"/>
      <c r="N22" s="1"/>
      <c r="O22" s="1"/>
    </row>
    <row r="23" spans="1:15" x14ac:dyDescent="0.25">
      <c r="A23" s="1"/>
      <c r="B23" s="11"/>
      <c r="C23" s="11"/>
      <c r="D23" s="15"/>
      <c r="E23" s="1"/>
      <c r="F23" s="13"/>
      <c r="G23" s="11"/>
      <c r="H23" s="11" t="s">
        <v>30</v>
      </c>
      <c r="I23" s="11" t="s">
        <v>30</v>
      </c>
      <c r="J23" s="11" t="s">
        <v>31</v>
      </c>
      <c r="K23" s="11" t="s">
        <v>31</v>
      </c>
      <c r="L23" s="11" t="s">
        <v>31</v>
      </c>
      <c r="M23" s="1"/>
      <c r="N23" s="1"/>
      <c r="O23" s="1"/>
    </row>
    <row r="24" spans="1:15" x14ac:dyDescent="0.25">
      <c r="A24" s="1"/>
      <c r="B24" s="16">
        <f>SUM(B4:B22)</f>
        <v>100</v>
      </c>
      <c r="C24" s="16">
        <f>SUM(C4:C22)</f>
        <v>4050</v>
      </c>
      <c r="D24" s="17">
        <f>SUM(D4:D22)</f>
        <v>520</v>
      </c>
      <c r="E24" s="1"/>
      <c r="F24" s="1"/>
      <c r="G24" s="16"/>
      <c r="H24" s="16">
        <f t="shared" ref="H24:I24" si="7">SUM(H4:H22)</f>
        <v>39</v>
      </c>
      <c r="I24" s="16">
        <f t="shared" si="7"/>
        <v>108</v>
      </c>
      <c r="J24" s="18">
        <f ca="1">AVERAGE(J4:J22)</f>
        <v>1.7935897435897437</v>
      </c>
      <c r="K24" s="18">
        <f>AVERAGE(K4:K22)</f>
        <v>2.9435897435897433</v>
      </c>
      <c r="L24" s="18">
        <f ca="1">AVERAGE(L4:L22)</f>
        <v>0.62179487179487181</v>
      </c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</sheetData>
  <mergeCells count="2">
    <mergeCell ref="B1:D1"/>
    <mergeCell ref="F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Bayer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Franziska Huebner</dc:creator>
  <cp:lastModifiedBy>Franziska Huebner</cp:lastModifiedBy>
  <dcterms:created xsi:type="dcterms:W3CDTF">2026-01-29T12:55:51Z</dcterms:created>
  <dcterms:modified xsi:type="dcterms:W3CDTF">2026-01-29T12:58:28Z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Enabled">
    <vt:lpwstr>true</vt:lpwstr>
  </property>
  <property fmtid="{D5CDD505-2E9C-101B-9397-08002B2CF9AE}" pid="3" name="MSIP_Label_7f850223-87a8-40c3-9eb2-432606efca2a_SetDate">
    <vt:lpwstr>2026-01-29T12:57:51Z</vt:lpwstr>
  </property>
  <property fmtid="{D5CDD505-2E9C-101B-9397-08002B2CF9AE}" pid="4" name="MSIP_Label_7f850223-87a8-40c3-9eb2-432606efca2a_Method">
    <vt:lpwstr>Standard</vt:lpwstr>
  </property>
  <property fmtid="{D5CDD505-2E9C-101B-9397-08002B2CF9AE}" pid="5" name="MSIP_Label_7f850223-87a8-40c3-9eb2-432606efca2a_Name">
    <vt:lpwstr>7f850223-87a8-40c3-9eb2-432606efca2a</vt:lpwstr>
  </property>
  <property fmtid="{D5CDD505-2E9C-101B-9397-08002B2CF9AE}" pid="6" name="MSIP_Label_7f850223-87a8-40c3-9eb2-432606efca2a_SiteId">
    <vt:lpwstr>fcb2b37b-5da0-466b-9b83-0014b67a7c78</vt:lpwstr>
  </property>
  <property fmtid="{D5CDD505-2E9C-101B-9397-08002B2CF9AE}" pid="7" name="MSIP_Label_7f850223-87a8-40c3-9eb2-432606efca2a_ActionId">
    <vt:lpwstr>3d54e7dc-88e7-445e-8471-b6ec561fd694</vt:lpwstr>
  </property>
  <property fmtid="{D5CDD505-2E9C-101B-9397-08002B2CF9AE}" pid="8" name="MSIP_Label_7f850223-87a8-40c3-9eb2-432606efca2a_ContentBits">
    <vt:lpwstr>0</vt:lpwstr>
  </property>
  <property fmtid="{D5CDD505-2E9C-101B-9397-08002B2CF9AE}" pid="9" name="MSIP_Label_7f850223-87a8-40c3-9eb2-432606efca2a_Tag">
    <vt:lpwstr>10, 3, 0, 1</vt:lpwstr>
  </property>
</Properties>
</file>